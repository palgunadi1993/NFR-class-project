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ussein\teaching\Modeling Fractured Reservoirs\2018\matlab\"/>
    </mc:Choice>
  </mc:AlternateContent>
  <bookViews>
    <workbookView xWindow="12390" yWindow="240" windowWidth="3610" windowHeight="4720" tabRatio="581"/>
  </bookViews>
  <sheets>
    <sheet name="Rel Perm_CEOR" sheetId="5" r:id="rId1"/>
  </sheets>
  <functionGroups builtInGroupCount="18"/>
  <calcPr calcId="152511"/>
</workbook>
</file>

<file path=xl/calcChain.xml><?xml version="1.0" encoding="utf-8"?>
<calcChain xmlns="http://schemas.openxmlformats.org/spreadsheetml/2006/main">
  <c r="G11" i="5" l="1"/>
  <c r="H11" i="5"/>
  <c r="F11" i="5"/>
  <c r="F12" i="5" l="1"/>
  <c r="F13" i="5" s="1"/>
  <c r="F14" i="5" l="1"/>
  <c r="F15" i="5" s="1"/>
  <c r="F16" i="5" s="1"/>
  <c r="F17" i="5" s="1"/>
  <c r="F18" i="5" s="1"/>
  <c r="F19" i="5" s="1"/>
  <c r="F20" i="5" s="1"/>
  <c r="G13" i="5"/>
  <c r="G12" i="5"/>
  <c r="G14" i="5"/>
  <c r="G15" i="5"/>
  <c r="G16" i="5"/>
  <c r="G17" i="5"/>
  <c r="G18" i="5"/>
  <c r="G19" i="5"/>
  <c r="G20" i="5"/>
  <c r="H12" i="5" l="1"/>
  <c r="H13" i="5"/>
  <c r="H14" i="5"/>
  <c r="H15" i="5"/>
  <c r="H16" i="5"/>
  <c r="H17" i="5"/>
  <c r="H18" i="5"/>
  <c r="H19" i="5"/>
  <c r="H20" i="5"/>
</calcChain>
</file>

<file path=xl/sharedStrings.xml><?xml version="1.0" encoding="utf-8"?>
<sst xmlns="http://schemas.openxmlformats.org/spreadsheetml/2006/main" count="17" uniqueCount="17">
  <si>
    <t>Sw</t>
  </si>
  <si>
    <t>Krw</t>
  </si>
  <si>
    <t>SWIR</t>
  </si>
  <si>
    <t>SORW</t>
  </si>
  <si>
    <t>OEXP</t>
  </si>
  <si>
    <r>
      <t>Krow = Krocw * ((1- Sw - Sorw) / (1 - Swir - Sorw))</t>
    </r>
    <r>
      <rPr>
        <vertAlign val="superscript"/>
        <sz val="10"/>
        <rFont val="Arial"/>
        <family val="2"/>
      </rPr>
      <t>OEXP</t>
    </r>
  </si>
  <si>
    <r>
      <t>Krw = Krwro * ((Sw - Swir) / (1 - Swir - Sorw))</t>
    </r>
    <r>
      <rPr>
        <vertAlign val="superscript"/>
        <sz val="10"/>
        <rFont val="Arial"/>
        <family val="2"/>
      </rPr>
      <t>WEXP</t>
    </r>
  </si>
  <si>
    <t>WEXP</t>
  </si>
  <si>
    <t>Krwro</t>
  </si>
  <si>
    <t>Krocw</t>
  </si>
  <si>
    <t>Water-Oil Relative Permeability</t>
  </si>
  <si>
    <t>Kro</t>
  </si>
  <si>
    <t>Swir   -&gt;</t>
  </si>
  <si>
    <t>Sw_max=(1-SORW)  -&gt;</t>
  </si>
  <si>
    <t>Input -&gt;</t>
  </si>
  <si>
    <t>Output</t>
  </si>
  <si>
    <t>Corey's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</si>
</sst>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00E+00"/>
    <numFmt numFmtId="166" formatCode="0.000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0"/>
      <name val="Arial"/>
      <family val="2"/>
    </font>
    <font>
      <sz val="9"/>
      <name val="Arial"/>
      <family val="2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0" fontId="7" fillId="0" borderId="0"/>
    <xf numFmtId="9" fontId="7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Fill="1"/>
    <xf numFmtId="0" fontId="0" fillId="0" borderId="0" xfId="0"/>
    <xf numFmtId="165" fontId="0" fillId="0" borderId="0" xfId="0" applyNumberFormat="1" applyFill="1"/>
    <xf numFmtId="0" fontId="3" fillId="3" borderId="1" xfId="0" applyFont="1" applyFill="1" applyBorder="1" applyAlignment="1">
      <alignment horizontal="center"/>
    </xf>
    <xf numFmtId="0" fontId="0" fillId="0" borderId="1" xfId="0" applyBorder="1"/>
    <xf numFmtId="11" fontId="0" fillId="0" borderId="1" xfId="0" applyNumberFormat="1" applyBorder="1"/>
    <xf numFmtId="0" fontId="0" fillId="0" borderId="0" xfId="0" applyFill="1" applyBorder="1"/>
    <xf numFmtId="0" fontId="0" fillId="0" borderId="5" xfId="0" applyBorder="1"/>
    <xf numFmtId="166" fontId="0" fillId="0" borderId="0" xfId="0" applyNumberFormat="1" applyFill="1" applyBorder="1"/>
    <xf numFmtId="0" fontId="2" fillId="0" borderId="0" xfId="0" applyFont="1" applyFill="1" applyBorder="1" applyAlignment="1">
      <alignment horizontal="left"/>
    </xf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horizontal="center" wrapText="1"/>
    </xf>
    <xf numFmtId="0" fontId="0" fillId="2" borderId="0" xfId="0" applyFill="1"/>
    <xf numFmtId="0" fontId="0" fillId="5" borderId="0" xfId="0" applyFill="1"/>
    <xf numFmtId="0" fontId="9" fillId="5" borderId="0" xfId="0" applyFont="1" applyFill="1" applyAlignment="1">
      <alignment horizontal="center"/>
    </xf>
    <xf numFmtId="0" fontId="5" fillId="5" borderId="0" xfId="0" applyFont="1" applyFill="1" applyBorder="1" applyAlignment="1"/>
    <xf numFmtId="0" fontId="0" fillId="2" borderId="0" xfId="0" applyNumberFormat="1" applyFill="1" applyBorder="1"/>
    <xf numFmtId="0" fontId="4" fillId="5" borderId="2" xfId="0" applyFont="1" applyFill="1" applyBorder="1"/>
    <xf numFmtId="166" fontId="0" fillId="5" borderId="2" xfId="0" applyNumberFormat="1" applyFill="1" applyBorder="1"/>
    <xf numFmtId="166" fontId="0" fillId="5" borderId="6" xfId="0" applyNumberFormat="1" applyFill="1" applyBorder="1"/>
    <xf numFmtId="0" fontId="3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</cellXfs>
  <cellStyles count="5">
    <cellStyle name="Normal" xfId="0" builtinId="0"/>
    <cellStyle name="Normal 2" xfId="1"/>
    <cellStyle name="Normal 3" xfId="2"/>
    <cellStyle name="Normal 4" xfId="3"/>
    <cellStyle name="Percent 2" xfId="4"/>
  </cellStyles>
  <dxfs count="0"/>
  <tableStyles count="0" defaultTableStyle="TableStyleMedium9" defaultPivotStyle="PivotStyleLight16"/>
  <colors>
    <mruColors>
      <color rgb="FFFCF9B4"/>
      <color rgb="FF0080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76014386258373"/>
          <c:y val="0.11611956091164327"/>
          <c:w val="0.69333585014201993"/>
          <c:h val="0.63917590052374673"/>
        </c:manualLayout>
      </c:layout>
      <c:scatterChart>
        <c:scatterStyle val="smoothMarker"/>
        <c:varyColors val="0"/>
        <c:ser>
          <c:idx val="4"/>
          <c:order val="0"/>
          <c:tx>
            <c:strRef>
              <c:f>'Rel Perm_CEOR'!$G$10</c:f>
              <c:strCache>
                <c:ptCount val="1"/>
                <c:pt idx="0">
                  <c:v>Krw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'Rel Perm_CEOR'!$F$11:$F$22</c:f>
              <c:numCache>
                <c:formatCode>0.00</c:formatCode>
                <c:ptCount val="12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0.39999999999999997</c:v>
                </c:pt>
                <c:pt idx="4">
                  <c:v>0.44999999999999996</c:v>
                </c:pt>
                <c:pt idx="5">
                  <c:v>0.49999999999999994</c:v>
                </c:pt>
                <c:pt idx="6">
                  <c:v>0.54999999999999993</c:v>
                </c:pt>
                <c:pt idx="7">
                  <c:v>0.6</c:v>
                </c:pt>
                <c:pt idx="8">
                  <c:v>0.65</c:v>
                </c:pt>
                <c:pt idx="9">
                  <c:v>0.70000000000000007</c:v>
                </c:pt>
              </c:numCache>
            </c:numRef>
          </c:xVal>
          <c:yVal>
            <c:numRef>
              <c:f>'Rel Perm_CEOR'!$G$11:$G$22</c:f>
              <c:numCache>
                <c:formatCode>0.0000</c:formatCode>
                <c:ptCount val="12"/>
                <c:pt idx="0">
                  <c:v>0</c:v>
                </c:pt>
                <c:pt idx="1">
                  <c:v>1.6460905349794228E-3</c:v>
                </c:pt>
                <c:pt idx="2">
                  <c:v>9.3116942378475322E-3</c:v>
                </c:pt>
                <c:pt idx="3">
                  <c:v>2.5660011963983348E-2</c:v>
                </c:pt>
                <c:pt idx="4">
                  <c:v>5.2674897119341528E-2</c:v>
                </c:pt>
                <c:pt idx="5">
                  <c:v>9.2019258333324652E-2</c:v>
                </c:pt>
                <c:pt idx="6">
                  <c:v>0.14515494772048454</c:v>
                </c:pt>
                <c:pt idx="7">
                  <c:v>0.21340216336158832</c:v>
                </c:pt>
                <c:pt idx="8">
                  <c:v>0.29797421561112131</c:v>
                </c:pt>
                <c:pt idx="9">
                  <c:v>0.40000000000000019</c:v>
                </c:pt>
              </c:numCache>
            </c:numRef>
          </c:yVal>
          <c:smooth val="1"/>
        </c:ser>
        <c:ser>
          <c:idx val="5"/>
          <c:order val="1"/>
          <c:tx>
            <c:strRef>
              <c:f>'Rel Perm_CEOR'!$H$10</c:f>
              <c:strCache>
                <c:ptCount val="1"/>
                <c:pt idx="0">
                  <c:v>Kro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'Rel Perm_CEOR'!$F$11:$F$22</c:f>
              <c:numCache>
                <c:formatCode>0.00</c:formatCode>
                <c:ptCount val="12"/>
                <c:pt idx="0">
                  <c:v>0.25</c:v>
                </c:pt>
                <c:pt idx="1">
                  <c:v>0.3</c:v>
                </c:pt>
                <c:pt idx="2">
                  <c:v>0.35</c:v>
                </c:pt>
                <c:pt idx="3">
                  <c:v>0.39999999999999997</c:v>
                </c:pt>
                <c:pt idx="4">
                  <c:v>0.44999999999999996</c:v>
                </c:pt>
                <c:pt idx="5">
                  <c:v>0.49999999999999994</c:v>
                </c:pt>
                <c:pt idx="6">
                  <c:v>0.54999999999999993</c:v>
                </c:pt>
                <c:pt idx="7">
                  <c:v>0.6</c:v>
                </c:pt>
                <c:pt idx="8">
                  <c:v>0.65</c:v>
                </c:pt>
                <c:pt idx="9">
                  <c:v>0.70000000000000007</c:v>
                </c:pt>
              </c:numCache>
            </c:numRef>
          </c:xVal>
          <c:yVal>
            <c:numRef>
              <c:f>'Rel Perm_CEOR'!$H$11:$H$22</c:f>
              <c:numCache>
                <c:formatCode>0.0000</c:formatCode>
                <c:ptCount val="12"/>
                <c:pt idx="0">
                  <c:v>0.7</c:v>
                </c:pt>
                <c:pt idx="1">
                  <c:v>0.55308641975308637</c:v>
                </c:pt>
                <c:pt idx="2">
                  <c:v>0.42345679012345677</c:v>
                </c:pt>
                <c:pt idx="3">
                  <c:v>0.31111111111111128</c:v>
                </c:pt>
                <c:pt idx="4">
                  <c:v>0.21604938271604948</c:v>
                </c:pt>
                <c:pt idx="5">
                  <c:v>0.13827160493827162</c:v>
                </c:pt>
                <c:pt idx="6">
                  <c:v>7.7777777777777848E-2</c:v>
                </c:pt>
                <c:pt idx="7">
                  <c:v>3.4567901234567919E-2</c:v>
                </c:pt>
                <c:pt idx="8">
                  <c:v>8.6419753086419693E-3</c:v>
                </c:pt>
                <c:pt idx="9">
                  <c:v>1.0652056976363972E-32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98752"/>
        <c:axId val="553897632"/>
      </c:scatterChart>
      <c:valAx>
        <c:axId val="553898752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Sw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97632"/>
        <c:crossesAt val="1.0000000000000004E-6"/>
        <c:crossBetween val="midCat"/>
        <c:majorUnit val="0.1"/>
      </c:valAx>
      <c:valAx>
        <c:axId val="55389763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kr</a:t>
                </a:r>
              </a:p>
            </c:rich>
          </c:tx>
          <c:layout>
            <c:manualLayout>
              <c:xMode val="edge"/>
              <c:yMode val="edge"/>
              <c:x val="1.8874890638670167E-2"/>
              <c:y val="0.35523677498059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898752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477725</xdr:colOff>
      <xdr:row>3</xdr:row>
      <xdr:rowOff>181388</xdr:rowOff>
    </xdr:from>
    <xdr:to>
      <xdr:col>18</xdr:col>
      <xdr:colOff>436562</xdr:colOff>
      <xdr:row>21</xdr:row>
      <xdr:rowOff>153790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6"/>
  <sheetViews>
    <sheetView tabSelected="1" zoomScale="128" zoomScaleNormal="128" workbookViewId="0">
      <selection activeCell="G11" sqref="G11"/>
    </sheetView>
  </sheetViews>
  <sheetFormatPr defaultColWidth="8.81640625" defaultRowHeight="14.5" x14ac:dyDescent="0.35"/>
  <cols>
    <col min="1" max="4" width="8.7265625" style="2" customWidth="1"/>
    <col min="5" max="5" width="11.7265625" style="7" customWidth="1"/>
    <col min="6" max="6" width="11.81640625" style="2" bestFit="1" customWidth="1"/>
    <col min="7" max="7" width="6.36328125" style="2" bestFit="1" customWidth="1"/>
    <col min="8" max="16384" width="8.81640625" style="2"/>
  </cols>
  <sheetData>
    <row r="1" spans="1:12" ht="18" customHeight="1" x14ac:dyDescent="0.55000000000000004">
      <c r="A1" s="16"/>
      <c r="B1" s="16"/>
      <c r="C1" s="16"/>
      <c r="D1" s="16"/>
      <c r="E1" s="16"/>
      <c r="F1" s="22" t="s">
        <v>10</v>
      </c>
      <c r="G1" s="20"/>
      <c r="H1" s="21"/>
      <c r="I1" s="21"/>
      <c r="J1" s="21"/>
      <c r="K1" s="21"/>
      <c r="L1" s="21"/>
    </row>
    <row r="2" spans="1:12" ht="30" customHeight="1" x14ac:dyDescent="0.35">
      <c r="A2" s="17"/>
      <c r="B2" s="17"/>
      <c r="C2" s="17"/>
      <c r="D2" s="17"/>
      <c r="F2" s="23" t="s">
        <v>6</v>
      </c>
      <c r="G2" s="19"/>
      <c r="H2" s="19"/>
      <c r="I2" s="19"/>
      <c r="J2" s="19"/>
      <c r="K2" s="19"/>
      <c r="L2" s="19"/>
    </row>
    <row r="3" spans="1:12" ht="30" customHeight="1" x14ac:dyDescent="0.35">
      <c r="A3" s="18"/>
      <c r="B3" s="18"/>
      <c r="C3" s="18"/>
      <c r="D3" s="18"/>
      <c r="F3" s="23" t="s">
        <v>5</v>
      </c>
      <c r="G3" s="19"/>
      <c r="H3" s="19"/>
      <c r="I3" s="19"/>
      <c r="J3" s="19"/>
      <c r="K3" s="19"/>
      <c r="L3" s="19"/>
    </row>
    <row r="4" spans="1:12" x14ac:dyDescent="0.35">
      <c r="E4" s="9"/>
    </row>
    <row r="5" spans="1:12" x14ac:dyDescent="0.35">
      <c r="D5" s="2" t="s">
        <v>14</v>
      </c>
      <c r="E5" s="9"/>
      <c r="F5" s="24" t="s">
        <v>2</v>
      </c>
      <c r="G5" s="25">
        <v>0.25</v>
      </c>
      <c r="H5" s="24" t="s">
        <v>3</v>
      </c>
      <c r="I5" s="26">
        <v>0.3</v>
      </c>
    </row>
    <row r="6" spans="1:12" x14ac:dyDescent="0.35">
      <c r="E6" s="9"/>
      <c r="F6" s="24" t="s">
        <v>7</v>
      </c>
      <c r="G6" s="25">
        <v>2.5</v>
      </c>
      <c r="H6" s="24" t="s">
        <v>4</v>
      </c>
      <c r="I6" s="26">
        <v>2</v>
      </c>
    </row>
    <row r="7" spans="1:12" x14ac:dyDescent="0.35">
      <c r="F7" s="24" t="s">
        <v>8</v>
      </c>
      <c r="G7" s="25">
        <v>0.4</v>
      </c>
      <c r="H7" s="24" t="s">
        <v>9</v>
      </c>
      <c r="I7" s="26">
        <v>0.7</v>
      </c>
    </row>
    <row r="8" spans="1:12" ht="19.5" customHeight="1" x14ac:dyDescent="0.45">
      <c r="E8" s="10"/>
    </row>
    <row r="9" spans="1:12" ht="19" thickBot="1" x14ac:dyDescent="0.5">
      <c r="D9" s="2" t="s">
        <v>15</v>
      </c>
      <c r="F9" s="14" t="s">
        <v>16</v>
      </c>
      <c r="G9" s="15"/>
      <c r="H9" s="15"/>
      <c r="I9" s="15"/>
    </row>
    <row r="10" spans="1:12" x14ac:dyDescent="0.35">
      <c r="F10" s="28" t="s">
        <v>0</v>
      </c>
      <c r="G10" s="4" t="s">
        <v>1</v>
      </c>
      <c r="H10" s="27" t="s">
        <v>11</v>
      </c>
      <c r="I10" s="8"/>
      <c r="J10" s="11"/>
      <c r="K10" s="7"/>
    </row>
    <row r="11" spans="1:12" x14ac:dyDescent="0.35">
      <c r="D11" s="2" t="s">
        <v>12</v>
      </c>
      <c r="F11" s="13">
        <f>G5</f>
        <v>0.25</v>
      </c>
      <c r="G11" s="12">
        <f>$G$7*((F11-$G$5)/(1-$G$5-$I$5))^$G$6</f>
        <v>0</v>
      </c>
      <c r="H11" s="12">
        <f>$I$7*((1-F11-$I$5)/(1-$G$5-$I$5))^$I$6</f>
        <v>0.7</v>
      </c>
      <c r="I11" s="8"/>
      <c r="J11" s="11"/>
      <c r="K11" s="7"/>
    </row>
    <row r="12" spans="1:12" x14ac:dyDescent="0.35">
      <c r="F12" s="13">
        <f>F11+0.05</f>
        <v>0.3</v>
      </c>
      <c r="G12" s="12">
        <f>$G$7*((F12-$G$5)/(1-$G$5-$I$5))^$G$6</f>
        <v>1.6460905349794228E-3</v>
      </c>
      <c r="H12" s="12">
        <f>$I$7*((1-F12-$I$5)/(1-$G$5-$I$5))^$I$6</f>
        <v>0.55308641975308637</v>
      </c>
      <c r="I12" s="8"/>
      <c r="J12" s="11"/>
      <c r="K12" s="7"/>
    </row>
    <row r="13" spans="1:12" x14ac:dyDescent="0.35">
      <c r="F13" s="13">
        <f t="shared" ref="F13:F20" si="0">F12+0.05</f>
        <v>0.35</v>
      </c>
      <c r="G13" s="12">
        <f>$G$7*((F13-$G$5)/(1-$G$5-$I$5))^$G$6</f>
        <v>9.3116942378475322E-3</v>
      </c>
      <c r="H13" s="12">
        <f>$I$7*((1-F13-$I$5)/(1-$G$5-$I$5))^$I$6</f>
        <v>0.42345679012345677</v>
      </c>
      <c r="I13" s="8"/>
      <c r="J13" s="11"/>
      <c r="K13" s="7"/>
    </row>
    <row r="14" spans="1:12" x14ac:dyDescent="0.35">
      <c r="F14" s="13">
        <f t="shared" si="0"/>
        <v>0.39999999999999997</v>
      </c>
      <c r="G14" s="12">
        <f>$G$7*((F14-$G$5)/(1-$G$5-$I$5))^$G$6</f>
        <v>2.5660011963983348E-2</v>
      </c>
      <c r="H14" s="12">
        <f>$I$7*((1-F14-$I$5)/(1-$G$5-$I$5))^$I$6</f>
        <v>0.31111111111111128</v>
      </c>
      <c r="I14" s="8"/>
      <c r="J14" s="11"/>
      <c r="K14" s="7"/>
    </row>
    <row r="15" spans="1:12" x14ac:dyDescent="0.35">
      <c r="F15" s="13">
        <f t="shared" si="0"/>
        <v>0.44999999999999996</v>
      </c>
      <c r="G15" s="12">
        <f>$G$7*((F15-$G$5)/(1-$G$5-$I$5))^$G$6</f>
        <v>5.2674897119341528E-2</v>
      </c>
      <c r="H15" s="12">
        <f>$I$7*((1-F15-$I$5)/(1-$G$5-$I$5))^$I$6</f>
        <v>0.21604938271604948</v>
      </c>
      <c r="I15" s="8"/>
      <c r="J15" s="11"/>
      <c r="K15" s="7"/>
    </row>
    <row r="16" spans="1:12" x14ac:dyDescent="0.35">
      <c r="F16" s="13">
        <f t="shared" si="0"/>
        <v>0.49999999999999994</v>
      </c>
      <c r="G16" s="12">
        <f>$G$7*((F16-$G$5)/(1-$G$5-$I$5))^$G$6</f>
        <v>9.2019258333324652E-2</v>
      </c>
      <c r="H16" s="12">
        <f>$I$7*((1-F16-$I$5)/(1-$G$5-$I$5))^$I$6</f>
        <v>0.13827160493827162</v>
      </c>
      <c r="I16" s="8"/>
      <c r="J16" s="11"/>
      <c r="K16" s="7"/>
    </row>
    <row r="17" spans="1:11" x14ac:dyDescent="0.35">
      <c r="F17" s="13">
        <f>F16+0.05</f>
        <v>0.54999999999999993</v>
      </c>
      <c r="G17" s="12">
        <f>$G$7*((F17-$G$5)/(1-$G$5-$I$5))^$G$6</f>
        <v>0.14515494772048454</v>
      </c>
      <c r="H17" s="12">
        <f>$I$7*((1-F17-$I$5)/(1-$G$5-$I$5))^$I$6</f>
        <v>7.7777777777777848E-2</v>
      </c>
      <c r="I17" s="8"/>
      <c r="J17" s="11"/>
      <c r="K17" s="7"/>
    </row>
    <row r="18" spans="1:11" x14ac:dyDescent="0.35">
      <c r="F18" s="13">
        <f t="shared" si="0"/>
        <v>0.6</v>
      </c>
      <c r="G18" s="12">
        <f>$G$7*((F18-$G$5)/(1-$G$5-$I$5))^$G$6</f>
        <v>0.21340216336158832</v>
      </c>
      <c r="H18" s="12">
        <f>$I$7*((1-F18-$I$5)/(1-$G$5-$I$5))^$I$6</f>
        <v>3.4567901234567919E-2</v>
      </c>
      <c r="I18" s="8"/>
      <c r="J18" s="11"/>
      <c r="K18" s="7"/>
    </row>
    <row r="19" spans="1:11" x14ac:dyDescent="0.35">
      <c r="F19" s="13">
        <f t="shared" si="0"/>
        <v>0.65</v>
      </c>
      <c r="G19" s="12">
        <f>$G$7*((F19-$G$5)/(1-$G$5-$I$5))^$G$6</f>
        <v>0.29797421561112131</v>
      </c>
      <c r="H19" s="12">
        <f>$I$7*((1-F19-$I$5)/(1-$G$5-$I$5))^$I$6</f>
        <v>8.6419753086419693E-3</v>
      </c>
      <c r="I19" s="8"/>
      <c r="J19" s="11"/>
      <c r="K19" s="7"/>
    </row>
    <row r="20" spans="1:11" x14ac:dyDescent="0.35">
      <c r="F20" s="13">
        <f t="shared" si="0"/>
        <v>0.70000000000000007</v>
      </c>
      <c r="G20" s="12">
        <f>$G$7*((F20-$G$5)/(1-$G$5-$I$5))^$G$6</f>
        <v>0.40000000000000019</v>
      </c>
      <c r="H20" s="12">
        <f>$I$7*((1-F20-$I$5)/(1-$G$5-$I$5))^$I$6</f>
        <v>1.0652056976363972E-32</v>
      </c>
      <c r="I20" s="8"/>
      <c r="J20" s="11"/>
      <c r="K20" s="7"/>
    </row>
    <row r="21" spans="1:11" x14ac:dyDescent="0.35">
      <c r="D21" s="2" t="s">
        <v>13</v>
      </c>
      <c r="F21" s="13"/>
      <c r="G21" s="12"/>
      <c r="H21" s="12"/>
      <c r="I21" s="8"/>
      <c r="J21" s="11"/>
      <c r="K21" s="7"/>
    </row>
    <row r="22" spans="1:11" x14ac:dyDescent="0.35">
      <c r="F22" s="13"/>
      <c r="G22" s="12"/>
      <c r="H22" s="12"/>
      <c r="I22" s="8"/>
      <c r="J22" s="11"/>
      <c r="K22" s="7"/>
    </row>
    <row r="23" spans="1:11" x14ac:dyDescent="0.35">
      <c r="F23" s="13"/>
      <c r="G23" s="12"/>
      <c r="H23" s="12"/>
      <c r="I23" s="8"/>
      <c r="J23" s="11"/>
      <c r="K23" s="7"/>
    </row>
    <row r="24" spans="1:11" x14ac:dyDescent="0.35">
      <c r="F24" s="5"/>
      <c r="G24" s="6"/>
      <c r="H24" s="6"/>
      <c r="I24" s="8"/>
      <c r="J24" s="11"/>
      <c r="K24" s="7"/>
    </row>
    <row r="25" spans="1:11" x14ac:dyDescent="0.35">
      <c r="F25" s="5"/>
      <c r="G25" s="6"/>
      <c r="H25" s="6"/>
      <c r="I25" s="8"/>
      <c r="J25" s="11"/>
      <c r="K25" s="7"/>
    </row>
    <row r="26" spans="1:11" x14ac:dyDescent="0.35">
      <c r="F26" s="5"/>
      <c r="G26" s="6"/>
      <c r="H26" s="6"/>
      <c r="I26" s="8"/>
      <c r="J26" s="11"/>
      <c r="K26" s="7"/>
    </row>
    <row r="27" spans="1:11" x14ac:dyDescent="0.35">
      <c r="F27" s="5"/>
      <c r="G27" s="6"/>
      <c r="H27" s="6"/>
      <c r="I27" s="8"/>
      <c r="J27" s="11"/>
      <c r="K27" s="7"/>
    </row>
    <row r="28" spans="1:11" x14ac:dyDescent="0.35">
      <c r="F28" s="5"/>
      <c r="G28" s="6"/>
      <c r="H28" s="6"/>
      <c r="I28" s="8"/>
      <c r="J28" s="11"/>
      <c r="K28" s="7"/>
    </row>
    <row r="29" spans="1:11" x14ac:dyDescent="0.35">
      <c r="F29" s="5"/>
      <c r="G29" s="6"/>
      <c r="H29" s="6"/>
      <c r="I29" s="8"/>
      <c r="J29" s="11"/>
      <c r="K29" s="7"/>
    </row>
    <row r="30" spans="1:11" x14ac:dyDescent="0.35">
      <c r="F30" s="5"/>
      <c r="G30" s="6"/>
      <c r="H30" s="6"/>
      <c r="I30" s="8"/>
      <c r="J30" s="11"/>
      <c r="K30" s="7"/>
    </row>
    <row r="31" spans="1:11" x14ac:dyDescent="0.35">
      <c r="A31" s="3"/>
      <c r="B31" s="3"/>
      <c r="C31" s="3"/>
      <c r="D31" s="1"/>
      <c r="F31" s="5"/>
      <c r="G31" s="6"/>
      <c r="H31" s="6"/>
      <c r="I31" s="8"/>
      <c r="J31" s="11"/>
      <c r="K31" s="7"/>
    </row>
    <row r="32" spans="1:11" x14ac:dyDescent="0.35">
      <c r="A32" s="3"/>
      <c r="B32" s="3"/>
      <c r="C32" s="3"/>
      <c r="D32" s="1"/>
      <c r="H32" s="11"/>
      <c r="J32" s="11"/>
      <c r="K32" s="7"/>
    </row>
    <row r="33" spans="1:11" x14ac:dyDescent="0.35">
      <c r="A33" s="3"/>
      <c r="B33" s="3"/>
      <c r="C33" s="3"/>
      <c r="D33" s="1"/>
      <c r="H33" s="11"/>
      <c r="J33" s="11"/>
      <c r="K33" s="7"/>
    </row>
    <row r="34" spans="1:11" x14ac:dyDescent="0.35">
      <c r="A34" s="3"/>
      <c r="B34" s="3"/>
      <c r="C34" s="3"/>
      <c r="D34" s="1"/>
      <c r="H34" s="11"/>
      <c r="J34" s="11"/>
      <c r="K34" s="7"/>
    </row>
    <row r="35" spans="1:11" x14ac:dyDescent="0.35">
      <c r="A35" s="3"/>
      <c r="B35" s="3"/>
      <c r="C35" s="3"/>
      <c r="D35" s="1"/>
      <c r="H35" s="11"/>
      <c r="J35" s="11"/>
      <c r="K35" s="7"/>
    </row>
    <row r="36" spans="1:11" x14ac:dyDescent="0.35">
      <c r="A36" s="3"/>
      <c r="B36" s="3"/>
      <c r="C36" s="3"/>
      <c r="D36" s="1"/>
      <c r="H36" s="11"/>
      <c r="J36" s="11"/>
      <c r="K36" s="7"/>
    </row>
    <row r="37" spans="1:11" x14ac:dyDescent="0.35">
      <c r="A37" s="3"/>
      <c r="B37" s="3"/>
      <c r="C37" s="3"/>
      <c r="D37" s="1"/>
      <c r="H37" s="11"/>
      <c r="J37" s="11"/>
      <c r="K37" s="7"/>
    </row>
    <row r="38" spans="1:11" x14ac:dyDescent="0.35">
      <c r="A38" s="3"/>
      <c r="B38" s="3"/>
      <c r="C38" s="3"/>
      <c r="D38" s="1"/>
      <c r="H38" s="11"/>
      <c r="J38" s="11"/>
      <c r="K38" s="7"/>
    </row>
    <row r="39" spans="1:11" x14ac:dyDescent="0.35">
      <c r="A39" s="3"/>
      <c r="B39" s="3"/>
      <c r="C39" s="3"/>
      <c r="D39" s="1"/>
      <c r="H39" s="11"/>
      <c r="J39" s="11"/>
      <c r="K39" s="7"/>
    </row>
    <row r="40" spans="1:11" x14ac:dyDescent="0.35">
      <c r="A40" s="3"/>
      <c r="B40" s="3"/>
      <c r="C40" s="3"/>
      <c r="D40" s="1"/>
      <c r="H40" s="11"/>
      <c r="J40" s="11"/>
      <c r="K40" s="7"/>
    </row>
    <row r="41" spans="1:11" x14ac:dyDescent="0.35">
      <c r="A41" s="3"/>
      <c r="B41" s="3"/>
      <c r="C41" s="3"/>
      <c r="D41" s="1"/>
      <c r="H41" s="11"/>
      <c r="J41" s="11"/>
      <c r="K41" s="7"/>
    </row>
    <row r="42" spans="1:11" x14ac:dyDescent="0.35">
      <c r="A42" s="3"/>
      <c r="B42" s="3"/>
      <c r="C42" s="3"/>
      <c r="D42" s="1"/>
      <c r="H42" s="11"/>
      <c r="J42" s="11"/>
      <c r="K42" s="7"/>
    </row>
    <row r="43" spans="1:11" x14ac:dyDescent="0.35">
      <c r="A43" s="3"/>
      <c r="B43" s="3"/>
      <c r="C43" s="3"/>
      <c r="D43" s="1"/>
      <c r="H43" s="11"/>
      <c r="J43" s="11"/>
      <c r="K43" s="7"/>
    </row>
    <row r="44" spans="1:11" x14ac:dyDescent="0.35">
      <c r="A44" s="3"/>
      <c r="B44" s="3"/>
      <c r="C44" s="3"/>
      <c r="D44" s="1"/>
      <c r="H44" s="11"/>
      <c r="J44" s="11"/>
      <c r="K44" s="7"/>
    </row>
    <row r="45" spans="1:11" x14ac:dyDescent="0.35">
      <c r="A45" s="3"/>
      <c r="B45" s="3"/>
      <c r="C45" s="3"/>
      <c r="D45" s="1"/>
      <c r="H45" s="11"/>
      <c r="J45" s="11"/>
      <c r="K45" s="7"/>
    </row>
    <row r="46" spans="1:11" x14ac:dyDescent="0.35">
      <c r="A46" s="3"/>
      <c r="B46" s="3"/>
      <c r="C46" s="3"/>
      <c r="D46" s="1"/>
      <c r="H46" s="11"/>
      <c r="J46" s="11"/>
      <c r="K46" s="7"/>
    </row>
    <row r="47" spans="1:11" x14ac:dyDescent="0.35">
      <c r="A47" s="3"/>
      <c r="B47" s="3"/>
      <c r="C47" s="3"/>
      <c r="D47" s="1"/>
      <c r="H47" s="11"/>
      <c r="J47" s="11"/>
      <c r="K47" s="7"/>
    </row>
    <row r="48" spans="1:11" x14ac:dyDescent="0.35">
      <c r="A48" s="3"/>
      <c r="B48" s="3"/>
      <c r="C48" s="3"/>
      <c r="D48" s="1"/>
      <c r="H48" s="11"/>
      <c r="J48" s="11"/>
      <c r="K48" s="7"/>
    </row>
    <row r="49" spans="1:11" x14ac:dyDescent="0.35">
      <c r="A49" s="3"/>
      <c r="B49" s="3"/>
      <c r="C49" s="3"/>
      <c r="D49" s="1"/>
      <c r="H49" s="11"/>
      <c r="J49" s="11"/>
      <c r="K49" s="7"/>
    </row>
    <row r="50" spans="1:11" x14ac:dyDescent="0.35">
      <c r="A50" s="3"/>
      <c r="B50" s="3"/>
      <c r="C50" s="3"/>
      <c r="D50" s="1"/>
      <c r="H50" s="11"/>
      <c r="J50" s="11"/>
      <c r="K50" s="7"/>
    </row>
    <row r="51" spans="1:11" x14ac:dyDescent="0.35">
      <c r="A51" s="3"/>
      <c r="B51" s="3"/>
      <c r="C51" s="3"/>
      <c r="D51" s="1"/>
      <c r="H51" s="11"/>
      <c r="J51" s="11"/>
      <c r="K51" s="7"/>
    </row>
    <row r="52" spans="1:11" x14ac:dyDescent="0.35">
      <c r="A52" s="3"/>
      <c r="B52" s="3"/>
      <c r="C52" s="3"/>
      <c r="D52" s="1"/>
      <c r="H52" s="11"/>
      <c r="J52" s="11"/>
      <c r="K52" s="7"/>
    </row>
    <row r="53" spans="1:11" x14ac:dyDescent="0.35">
      <c r="A53" s="3"/>
      <c r="B53" s="3"/>
      <c r="C53" s="3"/>
      <c r="D53" s="1"/>
      <c r="H53" s="11"/>
      <c r="J53" s="11"/>
      <c r="K53" s="7"/>
    </row>
    <row r="54" spans="1:11" x14ac:dyDescent="0.35">
      <c r="A54" s="3"/>
      <c r="B54" s="3"/>
      <c r="C54" s="3"/>
      <c r="D54" s="1"/>
      <c r="H54" s="11"/>
      <c r="J54" s="11"/>
      <c r="K54" s="7"/>
    </row>
    <row r="55" spans="1:11" x14ac:dyDescent="0.35">
      <c r="A55" s="3"/>
      <c r="B55" s="3"/>
      <c r="C55" s="3"/>
      <c r="D55" s="1"/>
      <c r="G55" s="11"/>
      <c r="H55" s="11"/>
      <c r="J55" s="11"/>
      <c r="K55" s="7"/>
    </row>
    <row r="56" spans="1:11" x14ac:dyDescent="0.35">
      <c r="A56" s="3"/>
      <c r="B56" s="3"/>
      <c r="C56" s="3"/>
      <c r="D56" s="1"/>
    </row>
    <row r="57" spans="1:11" x14ac:dyDescent="0.35">
      <c r="A57" s="3"/>
      <c r="B57" s="3"/>
      <c r="C57" s="3"/>
      <c r="D57" s="1"/>
    </row>
    <row r="58" spans="1:11" x14ac:dyDescent="0.35">
      <c r="A58" s="3"/>
      <c r="B58" s="3"/>
      <c r="C58" s="3"/>
      <c r="D58" s="1"/>
    </row>
    <row r="59" spans="1:11" x14ac:dyDescent="0.35">
      <c r="A59" s="3"/>
      <c r="B59" s="3"/>
      <c r="C59" s="3"/>
      <c r="D59" s="1"/>
    </row>
    <row r="60" spans="1:11" x14ac:dyDescent="0.35">
      <c r="A60" s="3"/>
      <c r="B60" s="3"/>
      <c r="C60" s="3"/>
      <c r="D60" s="1"/>
    </row>
    <row r="61" spans="1:11" x14ac:dyDescent="0.35">
      <c r="A61" s="3"/>
      <c r="B61" s="3"/>
      <c r="C61" s="3"/>
      <c r="D61" s="1"/>
    </row>
    <row r="62" spans="1:11" x14ac:dyDescent="0.35">
      <c r="A62" s="3"/>
      <c r="B62" s="3"/>
      <c r="C62" s="3"/>
      <c r="D62" s="1"/>
    </row>
    <row r="63" spans="1:11" x14ac:dyDescent="0.35">
      <c r="A63" s="3"/>
      <c r="B63" s="3"/>
      <c r="C63" s="3"/>
      <c r="D63" s="1"/>
    </row>
    <row r="64" spans="1:11" x14ac:dyDescent="0.35">
      <c r="A64" s="3"/>
      <c r="B64" s="3"/>
      <c r="C64" s="3"/>
      <c r="D64" s="1"/>
    </row>
    <row r="65" spans="1:4" x14ac:dyDescent="0.35">
      <c r="A65" s="3"/>
      <c r="B65" s="3"/>
      <c r="C65" s="3"/>
      <c r="D65" s="1"/>
    </row>
    <row r="66" spans="1:4" x14ac:dyDescent="0.35">
      <c r="A66" s="3"/>
      <c r="B66" s="3"/>
      <c r="C66" s="3"/>
      <c r="D66" s="1"/>
    </row>
    <row r="67" spans="1:4" x14ac:dyDescent="0.35">
      <c r="A67" s="3"/>
      <c r="B67" s="3"/>
      <c r="C67" s="3"/>
      <c r="D67" s="1"/>
    </row>
    <row r="68" spans="1:4" x14ac:dyDescent="0.35">
      <c r="A68" s="3"/>
      <c r="B68" s="3"/>
      <c r="C68" s="3"/>
      <c r="D68" s="1"/>
    </row>
    <row r="69" spans="1:4" x14ac:dyDescent="0.35">
      <c r="A69" s="3"/>
      <c r="B69" s="3"/>
      <c r="C69" s="3"/>
      <c r="D69" s="1"/>
    </row>
    <row r="70" spans="1:4" x14ac:dyDescent="0.35">
      <c r="A70" s="3"/>
      <c r="B70" s="3"/>
      <c r="C70" s="3"/>
      <c r="D70" s="1"/>
    </row>
    <row r="71" spans="1:4" x14ac:dyDescent="0.35">
      <c r="A71" s="3"/>
      <c r="B71" s="3"/>
      <c r="C71" s="3"/>
      <c r="D71" s="1"/>
    </row>
    <row r="72" spans="1:4" x14ac:dyDescent="0.35">
      <c r="A72" s="3"/>
      <c r="B72" s="3"/>
      <c r="C72" s="3"/>
      <c r="D72" s="1"/>
    </row>
    <row r="73" spans="1:4" x14ac:dyDescent="0.35">
      <c r="A73" s="3"/>
      <c r="B73" s="3"/>
      <c r="C73" s="3"/>
      <c r="D73" s="1"/>
    </row>
    <row r="74" spans="1:4" x14ac:dyDescent="0.35">
      <c r="A74" s="3"/>
      <c r="B74" s="3"/>
      <c r="C74" s="3"/>
      <c r="D74" s="1"/>
    </row>
    <row r="75" spans="1:4" x14ac:dyDescent="0.35">
      <c r="A75" s="3"/>
      <c r="B75" s="3"/>
    </row>
    <row r="76" spans="1:4" x14ac:dyDescent="0.35">
      <c r="A76" s="3"/>
      <c r="B76" s="3"/>
    </row>
  </sheetData>
  <mergeCells count="4">
    <mergeCell ref="H1:L1"/>
    <mergeCell ref="A1:E1"/>
    <mergeCell ref="F9:I9"/>
    <mergeCell ref="A2:D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Rel Perm_CEOR</vt:lpstr>
    </vt:vector>
  </TitlesOfParts>
  <Company>Chevron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Raushan Kumar</dc:creator>
  <cp:lastModifiedBy>KITS</cp:lastModifiedBy>
  <cp:lastPrinted>2010-04-22T15:36:32Z</cp:lastPrinted>
  <dcterms:created xsi:type="dcterms:W3CDTF">2010-03-25T14:25:52Z</dcterms:created>
  <dcterms:modified xsi:type="dcterms:W3CDTF">2018-03-04T04:15:40Z</dcterms:modified>
</cp:coreProperties>
</file>